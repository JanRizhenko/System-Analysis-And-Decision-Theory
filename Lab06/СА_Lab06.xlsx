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СА\Lab06\"/>
    </mc:Choice>
  </mc:AlternateContent>
  <xr:revisionPtr revIDLastSave="0" documentId="13_ncr:1_{1D66698B-8CE9-4373-A282-DEDD0916EEEB}" xr6:coauthVersionLast="47" xr6:coauthVersionMax="47" xr10:uidLastSave="{00000000-0000-0000-0000-000000000000}"/>
  <bookViews>
    <workbookView xWindow="-120" yWindow="-120" windowWidth="29040" windowHeight="16440" tabRatio="500" activeTab="3" xr2:uid="{00000000-000D-0000-FFFF-FFFF00000000}"/>
  </bookViews>
  <sheets>
    <sheet name="Answer Report 1" sheetId="2" r:id="rId1"/>
    <sheet name="Sensitivity Report 1" sheetId="3" r:id="rId2"/>
    <sheet name="Limits Report 1" sheetId="4" r:id="rId3"/>
    <sheet name="Solution" sheetId="1" r:id="rId4"/>
  </sheets>
  <definedNames>
    <definedName name="solver_adj" localSheetId="3" hidden="1">Solution!$B$6:$D$6</definedName>
    <definedName name="solver_cvg" localSheetId="3" hidden="1">0.0001</definedName>
    <definedName name="solver_drv" localSheetId="3" hidden="1">2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Solution!$B$10</definedName>
    <definedName name="solver_lhs2" localSheetId="3" hidden="1">Solution!$B$8</definedName>
    <definedName name="solver_lhs3" localSheetId="3" hidden="1">Solution!$B$9</definedName>
    <definedName name="solver_lhs4" localSheetId="3" hidden="1">Solution!$D$6</definedName>
    <definedName name="solver_lhs5" localSheetId="3" hidden="1">Solution!$D$6</definedName>
    <definedName name="solver_lhs6" localSheetId="3" hidden="1">Solution!$D$6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3</definedName>
    <definedName name="solver_nwt" localSheetId="3" hidden="1">1</definedName>
    <definedName name="solver_opt" localSheetId="3" hidden="1">Solution!$B$7</definedName>
    <definedName name="solver_pre" localSheetId="3" hidden="1">0.000001</definedName>
    <definedName name="solver_rbv" localSheetId="3" hidden="1">2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el4" localSheetId="3" hidden="1">1</definedName>
    <definedName name="solver_rel5" localSheetId="3" hidden="1">1</definedName>
    <definedName name="solver_rel6" localSheetId="3" hidden="1">1</definedName>
    <definedName name="solver_rhs1" localSheetId="3" hidden="1">Solution!$E$10</definedName>
    <definedName name="solver_rhs2" localSheetId="3" hidden="1">Solution!$E$8</definedName>
    <definedName name="solver_rhs3" localSheetId="3" hidden="1">Solution!$E$9</definedName>
    <definedName name="solver_rhs4" localSheetId="3" hidden="1">0</definedName>
    <definedName name="solver_rhs5" localSheetId="3" hidden="1">0</definedName>
    <definedName name="solver_rhs6" localSheetId="3" hidden="1">0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8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7" i="1" l="1"/>
  <c r="B10" i="1"/>
  <c r="B9" i="1"/>
  <c r="B8" i="1"/>
</calcChain>
</file>

<file path=xl/sharedStrings.xml><?xml version="1.0" encoding="utf-8"?>
<sst xmlns="http://schemas.openxmlformats.org/spreadsheetml/2006/main" count="133" uniqueCount="77">
  <si>
    <t>РОК</t>
  </si>
  <si>
    <t>РНП</t>
  </si>
  <si>
    <t>РССПЗ</t>
  </si>
  <si>
    <r>
      <rPr>
        <sz val="14"/>
        <rFont val="Times New Roman"/>
        <family val="1"/>
        <charset val="1"/>
      </rPr>
      <t>Площа під обладнання, м</t>
    </r>
    <r>
      <rPr>
        <vertAlign val="superscript"/>
        <sz val="14"/>
        <rFont val="Times New Roman"/>
        <family val="1"/>
        <charset val="1"/>
      </rPr>
      <t>2</t>
    </r>
  </si>
  <si>
    <t>Трудові затрати, люд.-год.</t>
  </si>
  <si>
    <t xml:space="preserve">Матеріальні затрати, грн. </t>
  </si>
  <si>
    <t>Wmax</t>
  </si>
  <si>
    <t>max</t>
  </si>
  <si>
    <t>Цільова функція</t>
  </si>
  <si>
    <t>Оптимальний план</t>
  </si>
  <si>
    <t>Використано площі</t>
  </si>
  <si>
    <t>Використано трудових</t>
  </si>
  <si>
    <t>Використано матеріалу</t>
  </si>
  <si>
    <t>Microsoft Excel 16.0 Answer Report</t>
  </si>
  <si>
    <t>Result: Solver found a solution.  All Constraints and optimality conditions are satisfied.</t>
  </si>
  <si>
    <t>Solver Engine</t>
  </si>
  <si>
    <t>Engine: Simplex LP</t>
  </si>
  <si>
    <t>Solution Time: 0.015 Seconds.</t>
  </si>
  <si>
    <t>Iterations: 2 Subproblems: 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</si>
  <si>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</si>
  <si>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</si>
  <si>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</si>
  <si>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</si>
  <si>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</si>
  <si>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</si>
  <si>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</si>
  <si>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</si>
  <si>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</si>
  <si>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</si>
  <si>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</si>
  <si>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</si>
  <si>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</si>
  <si>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</si>
  <si>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</si>
  <si>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$B$7</t>
  </si>
  <si>
    <t>Цільова функція РОК</t>
  </si>
  <si>
    <t>$B$6</t>
  </si>
  <si>
    <t>Оптимальний план РОК</t>
  </si>
  <si>
    <t>Contin</t>
  </si>
  <si>
    <t>$C$6</t>
  </si>
  <si>
    <t>Оптимальний план РНП</t>
  </si>
  <si>
    <t>$D$6</t>
  </si>
  <si>
    <t>Оптимальний план РССПЗ</t>
  </si>
  <si>
    <t>$B$10</t>
  </si>
  <si>
    <t>Використано матеріалу РОК</t>
  </si>
  <si>
    <t>$B$10&lt;=$E$10</t>
  </si>
  <si>
    <t>Not Binding</t>
  </si>
  <si>
    <t>$B$8</t>
  </si>
  <si>
    <t>Використано площі РОК</t>
  </si>
  <si>
    <t>$B$8&lt;=$E$8</t>
  </si>
  <si>
    <t>Binding</t>
  </si>
  <si>
    <t>$B$9</t>
  </si>
  <si>
    <t>Використано трудових РОК</t>
  </si>
  <si>
    <t>$B$9&lt;=$E$9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</si>
  <si>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</si>
  <si>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</si>
  <si>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</si>
  <si>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</si>
  <si>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</si>
  <si>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</si>
  <si>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</si>
  <si>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</si>
  <si>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</si>
  <si>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</si>
  <si>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</si>
  <si>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</si>
  <si>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</si>
  <si>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</si>
  <si>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</si>
  <si>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</si>
  <si>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</si>
  <si>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</si>
  <si>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</si>
  <si>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</si>
  <si>
    <t>Report Created: 5/15/2026 9:20:55 PM</t>
  </si>
  <si>
    <t>Report Created: 5/15/2026 9:04:55 PM</t>
  </si>
  <si>
    <t>Worksheet: [СА_Lab06.xlsx]Sheet1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</si>
</sst>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4"/>
      <name val="Times New Roman"/>
      <family val="1"/>
      <charset val="1"/>
    </font>
    <font>
      <vertAlign val="superscript"/>
      <sz val="14"/>
      <name val="Times New Roman"/>
      <family val="1"/>
      <charset val="1"/>
    </font>
    <font>
      <b/>
      <sz val="10"/>
      <name val="Arial"/>
      <family val="2"/>
    </font>
    <font>
      <b/>
      <sz val="10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0" borderId="8" xfId="0" applyBorder="1"/>
    <xf numFmtId="0" fontId="4" fillId="0" borderId="7" xfId="0" applyFont="1" applyBorder="1" applyAlignment="1">
      <alignment horizontal="center"/>
    </xf>
    <xf numFmtId="0" fontId="0" fillId="0" borderId="9" xfId="0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4A30-DF52-4B02-8E81-F228D30E07D1}">
  <dimension ref="A1:G30"/>
  <sheetViews>
    <sheetView showGridLines="0" zoomScale="85" zoomScaleNormal="85" workbookViewId="0">
      <selection activeCell="J8" sqref="J8"/>
    </sheetView>
  </sheetViews>
  <sheetFormatPr defaultRowHeight="12.75" x14ac:dyDescent="0.2"/>
  <cols>
    <col min="1" max="1" width="2.28515625" customWidth="1"/>
    <col min="2" max="2" width="6.28515625" bestFit="1" customWidth="1"/>
    <col min="3" max="3" width="25.7109375" bestFit="1" customWidth="1"/>
    <col min="4" max="4" width="13.28515625" bestFit="1" customWidth="1"/>
    <col min="5" max="5" width="13.7109375" bestFit="1" customWidth="1"/>
    <col min="6" max="6" width="10.28515625" bestFit="1" customWidth="1"/>
    <col min="7" max="7" width="6" bestFit="1" customWidth="1"/>
  </cols>
  <sheetData>
    <row r="1" spans="1:5" x14ac:dyDescent="0.2">
      <c r="A1" s="3" t="s">
        <v>13</v>
      </c>
    </row>
    <row r="2" spans="1:5" x14ac:dyDescent="0.2">
      <c r="A2" s="3" t="s">
        <v>76</v>
      </c>
    </row>
    <row r="3" spans="1:5" x14ac:dyDescent="0.2">
      <c r="A3" s="3" t="s">
        <v>74</v>
      </c>
    </row>
    <row r="4" spans="1:5" x14ac:dyDescent="0.2">
      <c r="A4" s="3" t="s">
        <v>14</v>
      </c>
    </row>
    <row r="5" spans="1:5" x14ac:dyDescent="0.2">
      <c r="A5" s="3" t="s">
        <v>15</v>
      </c>
    </row>
    <row r="6" spans="1:5" x14ac:dyDescent="0.2">
      <c r="A6" s="3"/>
      <c r="B6" t="s">
        <v>16</v>
      </c>
    </row>
    <row r="7" spans="1:5" x14ac:dyDescent="0.2">
      <c r="A7" s="3"/>
      <c r="B7" t="s">
        <v>17</v>
      </c>
    </row>
    <row r="8" spans="1:5" x14ac:dyDescent="0.2">
      <c r="A8" s="3"/>
      <c r="B8" t="s">
        <v>18</v>
      </c>
    </row>
    <row r="9" spans="1:5" x14ac:dyDescent="0.2">
      <c r="A9" s="3" t="s">
        <v>19</v>
      </c>
    </row>
    <row r="10" spans="1:5" x14ac:dyDescent="0.2">
      <c r="B10" t="s">
        <v>20</v>
      </c>
    </row>
    <row r="11" spans="1:5" x14ac:dyDescent="0.2">
      <c r="B11" t="s">
        <v>21</v>
      </c>
    </row>
    <row r="14" spans="1:5" ht="13.5" thickBot="1" x14ac:dyDescent="0.25">
      <c r="A14" t="s">
        <v>22</v>
      </c>
    </row>
    <row r="15" spans="1:5" ht="13.5" thickBot="1" x14ac:dyDescent="0.25">
      <c r="B15" s="5" t="s">
        <v>23</v>
      </c>
      <c r="C15" s="5" t="s">
        <v>24</v>
      </c>
      <c r="D15" s="5" t="s">
        <v>25</v>
      </c>
      <c r="E15" s="5" t="s">
        <v>26</v>
      </c>
    </row>
    <row r="16" spans="1:5" ht="13.5" thickBot="1" x14ac:dyDescent="0.25">
      <c r="B16" s="4" t="s">
        <v>34</v>
      </c>
      <c r="C16" s="4" t="s">
        <v>35</v>
      </c>
      <c r="D16" s="4">
        <v>0</v>
      </c>
      <c r="E16" s="4">
        <v>1003500</v>
      </c>
    </row>
    <row r="19" spans="1:7" ht="13.5" thickBot="1" x14ac:dyDescent="0.25">
      <c r="A19" t="s">
        <v>27</v>
      </c>
    </row>
    <row r="20" spans="1:7" ht="13.5" thickBot="1" x14ac:dyDescent="0.25"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28</v>
      </c>
    </row>
    <row r="21" spans="1:7" x14ac:dyDescent="0.2">
      <c r="B21" s="6" t="s">
        <v>36</v>
      </c>
      <c r="C21" s="6" t="s">
        <v>37</v>
      </c>
      <c r="D21" s="6">
        <v>0</v>
      </c>
      <c r="E21" s="6">
        <v>675</v>
      </c>
      <c r="F21" s="6" t="s">
        <v>38</v>
      </c>
    </row>
    <row r="22" spans="1:7" x14ac:dyDescent="0.2">
      <c r="B22" s="6" t="s">
        <v>39</v>
      </c>
      <c r="C22" s="6" t="s">
        <v>40</v>
      </c>
      <c r="D22" s="6">
        <v>0</v>
      </c>
      <c r="E22" s="6">
        <v>0</v>
      </c>
      <c r="F22" s="6" t="s">
        <v>38</v>
      </c>
    </row>
    <row r="23" spans="1:7" ht="13.5" thickBot="1" x14ac:dyDescent="0.25">
      <c r="B23" s="4" t="s">
        <v>41</v>
      </c>
      <c r="C23" s="4" t="s">
        <v>42</v>
      </c>
      <c r="D23" s="4">
        <v>0</v>
      </c>
      <c r="E23" s="4">
        <v>325</v>
      </c>
      <c r="F23" s="4" t="s">
        <v>38</v>
      </c>
    </row>
    <row r="26" spans="1:7" ht="13.5" thickBot="1" x14ac:dyDescent="0.25">
      <c r="A26" t="s">
        <v>29</v>
      </c>
    </row>
    <row r="27" spans="1:7" ht="13.5" thickBot="1" x14ac:dyDescent="0.25">
      <c r="B27" s="5" t="s">
        <v>23</v>
      </c>
      <c r="C27" s="5" t="s">
        <v>24</v>
      </c>
      <c r="D27" s="5" t="s">
        <v>30</v>
      </c>
      <c r="E27" s="5" t="s">
        <v>31</v>
      </c>
      <c r="F27" s="5" t="s">
        <v>32</v>
      </c>
      <c r="G27" s="5" t="s">
        <v>33</v>
      </c>
    </row>
    <row r="28" spans="1:7" x14ac:dyDescent="0.2">
      <c r="B28" s="6" t="s">
        <v>43</v>
      </c>
      <c r="C28" s="6" t="s">
        <v>44</v>
      </c>
      <c r="D28" s="6">
        <v>373500</v>
      </c>
      <c r="E28" s="6" t="s">
        <v>45</v>
      </c>
      <c r="F28" s="6" t="s">
        <v>46</v>
      </c>
      <c r="G28" s="6">
        <v>46500</v>
      </c>
    </row>
    <row r="29" spans="1:7" x14ac:dyDescent="0.2">
      <c r="B29" s="6" t="s">
        <v>47</v>
      </c>
      <c r="C29" s="6" t="s">
        <v>48</v>
      </c>
      <c r="D29" s="6">
        <v>1000</v>
      </c>
      <c r="E29" s="6" t="s">
        <v>49</v>
      </c>
      <c r="F29" s="6" t="s">
        <v>50</v>
      </c>
      <c r="G29" s="6">
        <v>0</v>
      </c>
    </row>
    <row r="30" spans="1:7" ht="13.5" thickBot="1" x14ac:dyDescent="0.25">
      <c r="B30" s="4" t="s">
        <v>51</v>
      </c>
      <c r="C30" s="4" t="s">
        <v>52</v>
      </c>
      <c r="D30" s="4">
        <v>18000</v>
      </c>
      <c r="E30" s="4" t="s">
        <v>53</v>
      </c>
      <c r="F30" s="4" t="s">
        <v>50</v>
      </c>
      <c r="G30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754D-FEB9-41A9-AA9F-1C66EC246F75}">
  <dimension ref="A1:H18"/>
  <sheetViews>
    <sheetView showGridLines="0" workbookViewId="0">
      <selection activeCell="A2" sqref="A2"/>
    </sheetView>
  </sheetViews>
  <sheetFormatPr defaultRowHeight="12.75" x14ac:dyDescent="0.2"/>
  <cols>
    <col min="1" max="1" width="2.28515625" customWidth="1"/>
    <col min="2" max="2" width="6.28515625" bestFit="1" customWidth="1"/>
    <col min="3" max="3" width="25.7109375" bestFit="1" customWidth="1"/>
    <col min="4" max="4" width="7" bestFit="1" customWidth="1"/>
    <col min="5" max="5" width="8.7109375" bestFit="1" customWidth="1"/>
    <col min="6" max="6" width="10.28515625" bestFit="1" customWidth="1"/>
    <col min="7" max="8" width="12" bestFit="1" customWidth="1"/>
  </cols>
  <sheetData>
    <row r="1" spans="1:8" x14ac:dyDescent="0.2">
      <c r="A1" s="3" t="s">
        <v>54</v>
      </c>
    </row>
    <row r="2" spans="1:8" x14ac:dyDescent="0.2">
      <c r="A2" s="3" t="s">
        <v>76</v>
      </c>
    </row>
    <row r="3" spans="1:8" x14ac:dyDescent="0.2">
      <c r="A3" s="3" t="s">
        <v>75</v>
      </c>
    </row>
    <row r="6" spans="1:8" ht="13.5" thickBot="1" x14ac:dyDescent="0.25">
      <c r="A6" t="s">
        <v>27</v>
      </c>
    </row>
    <row r="7" spans="1:8" x14ac:dyDescent="0.2">
      <c r="B7" s="7"/>
      <c r="C7" s="7"/>
      <c r="D7" s="7" t="s">
        <v>55</v>
      </c>
      <c r="E7" s="7" t="s">
        <v>57</v>
      </c>
      <c r="F7" s="7" t="s">
        <v>59</v>
      </c>
      <c r="G7" s="7" t="s">
        <v>61</v>
      </c>
      <c r="H7" s="7" t="s">
        <v>61</v>
      </c>
    </row>
    <row r="8" spans="1:8" ht="13.5" thickBot="1" x14ac:dyDescent="0.25">
      <c r="B8" s="8" t="s">
        <v>23</v>
      </c>
      <c r="C8" s="8" t="s">
        <v>24</v>
      </c>
      <c r="D8" s="8" t="s">
        <v>56</v>
      </c>
      <c r="E8" s="8" t="s">
        <v>58</v>
      </c>
      <c r="F8" s="8" t="s">
        <v>60</v>
      </c>
      <c r="G8" s="8" t="s">
        <v>62</v>
      </c>
      <c r="H8" s="8" t="s">
        <v>63</v>
      </c>
    </row>
    <row r="9" spans="1:8" x14ac:dyDescent="0.2">
      <c r="B9" s="6" t="s">
        <v>36</v>
      </c>
      <c r="C9" s="6" t="s">
        <v>37</v>
      </c>
      <c r="D9" s="6">
        <v>675</v>
      </c>
      <c r="E9" s="6">
        <v>0</v>
      </c>
      <c r="F9" s="6">
        <v>360</v>
      </c>
      <c r="G9" s="6">
        <v>1980</v>
      </c>
      <c r="H9" s="6">
        <v>49.26829268292682</v>
      </c>
    </row>
    <row r="10" spans="1:8" x14ac:dyDescent="0.2">
      <c r="B10" s="6" t="s">
        <v>39</v>
      </c>
      <c r="C10" s="6" t="s">
        <v>40</v>
      </c>
      <c r="D10" s="6">
        <v>0</v>
      </c>
      <c r="E10" s="6">
        <v>-50.499999999999986</v>
      </c>
      <c r="F10" s="6">
        <v>260</v>
      </c>
      <c r="G10" s="6">
        <v>50.499999999999986</v>
      </c>
      <c r="H10" s="6">
        <v>1E+30</v>
      </c>
    </row>
    <row r="11" spans="1:8" ht="13.5" thickBot="1" x14ac:dyDescent="0.25">
      <c r="B11" s="4" t="s">
        <v>41</v>
      </c>
      <c r="C11" s="4" t="s">
        <v>42</v>
      </c>
      <c r="D11" s="4">
        <v>325</v>
      </c>
      <c r="E11" s="4">
        <v>0</v>
      </c>
      <c r="F11" s="4">
        <v>2340</v>
      </c>
      <c r="G11" s="4">
        <v>900</v>
      </c>
      <c r="H11" s="4">
        <v>1980</v>
      </c>
    </row>
    <row r="13" spans="1:8" ht="13.5" thickBot="1" x14ac:dyDescent="0.25">
      <c r="A13" t="s">
        <v>29</v>
      </c>
    </row>
    <row r="14" spans="1:8" x14ac:dyDescent="0.2">
      <c r="B14" s="7"/>
      <c r="C14" s="7"/>
      <c r="D14" s="7" t="s">
        <v>55</v>
      </c>
      <c r="E14" s="7" t="s">
        <v>64</v>
      </c>
      <c r="F14" s="7" t="s">
        <v>66</v>
      </c>
      <c r="G14" s="7" t="s">
        <v>61</v>
      </c>
      <c r="H14" s="7" t="s">
        <v>61</v>
      </c>
    </row>
    <row r="15" spans="1:8" ht="13.5" thickBot="1" x14ac:dyDescent="0.25">
      <c r="B15" s="8" t="s">
        <v>23</v>
      </c>
      <c r="C15" s="8" t="s">
        <v>24</v>
      </c>
      <c r="D15" s="8" t="s">
        <v>56</v>
      </c>
      <c r="E15" s="8" t="s">
        <v>65</v>
      </c>
      <c r="F15" s="8" t="s">
        <v>67</v>
      </c>
      <c r="G15" s="8" t="s">
        <v>62</v>
      </c>
      <c r="H15" s="8" t="s">
        <v>63</v>
      </c>
    </row>
    <row r="16" spans="1:8" x14ac:dyDescent="0.2">
      <c r="B16" s="6" t="s">
        <v>43</v>
      </c>
      <c r="C16" s="6" t="s">
        <v>44</v>
      </c>
      <c r="D16" s="6">
        <v>373500</v>
      </c>
      <c r="E16" s="6">
        <v>0</v>
      </c>
      <c r="F16" s="6">
        <v>420000</v>
      </c>
      <c r="G16" s="6">
        <v>1E+30</v>
      </c>
      <c r="H16" s="6">
        <v>46500</v>
      </c>
    </row>
    <row r="17" spans="2:8" x14ac:dyDescent="0.2">
      <c r="B17" s="6" t="s">
        <v>47</v>
      </c>
      <c r="C17" s="6" t="s">
        <v>48</v>
      </c>
      <c r="D17" s="6">
        <v>1000</v>
      </c>
      <c r="E17" s="6">
        <v>112.5</v>
      </c>
      <c r="F17" s="6">
        <v>1000</v>
      </c>
      <c r="G17" s="6">
        <v>2066.6666666666665</v>
      </c>
      <c r="H17" s="6">
        <v>600</v>
      </c>
    </row>
    <row r="18" spans="2:8" ht="13.5" thickBot="1" x14ac:dyDescent="0.25">
      <c r="B18" s="4" t="s">
        <v>51</v>
      </c>
      <c r="C18" s="4" t="s">
        <v>52</v>
      </c>
      <c r="D18" s="4">
        <v>18000</v>
      </c>
      <c r="E18" s="4">
        <v>49.5</v>
      </c>
      <c r="F18" s="4">
        <v>18000</v>
      </c>
      <c r="G18" s="4">
        <v>2384.6153846153848</v>
      </c>
      <c r="H18" s="4">
        <v>13000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7563-11EC-43F9-8645-BE0053CA94F6}">
  <dimension ref="A1:J15"/>
  <sheetViews>
    <sheetView showGridLines="0" workbookViewId="0">
      <selection activeCell="A2" sqref="A2"/>
    </sheetView>
  </sheetViews>
  <sheetFormatPr defaultRowHeight="12.75" x14ac:dyDescent="0.2"/>
  <cols>
    <col min="1" max="1" width="2.28515625" customWidth="1"/>
    <col min="2" max="2" width="5.28515625" bestFit="1" customWidth="1"/>
    <col min="3" max="3" width="24.28515625" bestFit="1" customWidth="1"/>
    <col min="4" max="4" width="8" bestFit="1" customWidth="1"/>
    <col min="5" max="5" width="2.28515625" customWidth="1"/>
    <col min="6" max="6" width="6.42578125" bestFit="1" customWidth="1"/>
    <col min="7" max="7" width="9.140625" bestFit="1" customWidth="1"/>
    <col min="8" max="8" width="2.28515625" customWidth="1"/>
    <col min="9" max="9" width="6.28515625" bestFit="1" customWidth="1"/>
    <col min="10" max="10" width="9.140625" bestFit="1" customWidth="1"/>
  </cols>
  <sheetData>
    <row r="1" spans="1:10" x14ac:dyDescent="0.2">
      <c r="A1" s="3" t="s">
        <v>68</v>
      </c>
    </row>
    <row r="2" spans="1:10" x14ac:dyDescent="0.2">
      <c r="A2" s="3" t="s">
        <v>76</v>
      </c>
    </row>
    <row r="3" spans="1:10" x14ac:dyDescent="0.2">
      <c r="A3" s="3" t="s">
        <v>75</v>
      </c>
    </row>
    <row r="5" spans="1:10" ht="13.5" thickBot="1" x14ac:dyDescent="0.25"/>
    <row r="6" spans="1:10" x14ac:dyDescent="0.2">
      <c r="B6" s="7"/>
      <c r="C6" s="7" t="s">
        <v>59</v>
      </c>
      <c r="D6" s="7"/>
    </row>
    <row r="7" spans="1:10" ht="13.5" thickBot="1" x14ac:dyDescent="0.25">
      <c r="B7" s="8" t="s">
        <v>23</v>
      </c>
      <c r="C7" s="8" t="s">
        <v>24</v>
      </c>
      <c r="D7" s="8" t="s">
        <v>56</v>
      </c>
    </row>
    <row r="8" spans="1:10" ht="13.5" thickBot="1" x14ac:dyDescent="0.25">
      <c r="B8" s="4" t="s">
        <v>34</v>
      </c>
      <c r="C8" s="4" t="s">
        <v>35</v>
      </c>
      <c r="D8" s="4">
        <v>1003500</v>
      </c>
    </row>
    <row r="10" spans="1:10" ht="13.5" thickBot="1" x14ac:dyDescent="0.25"/>
    <row r="11" spans="1:10" x14ac:dyDescent="0.2">
      <c r="B11" s="7"/>
      <c r="C11" s="7" t="s">
        <v>69</v>
      </c>
      <c r="D11" s="7"/>
      <c r="F11" s="7" t="s">
        <v>70</v>
      </c>
      <c r="G11" s="7" t="s">
        <v>59</v>
      </c>
      <c r="I11" s="7" t="s">
        <v>73</v>
      </c>
      <c r="J11" s="7" t="s">
        <v>59</v>
      </c>
    </row>
    <row r="12" spans="1:10" ht="13.5" thickBot="1" x14ac:dyDescent="0.25">
      <c r="B12" s="8" t="s">
        <v>23</v>
      </c>
      <c r="C12" s="8" t="s">
        <v>24</v>
      </c>
      <c r="D12" s="8" t="s">
        <v>56</v>
      </c>
      <c r="F12" s="8" t="s">
        <v>71</v>
      </c>
      <c r="G12" s="8" t="s">
        <v>72</v>
      </c>
      <c r="I12" s="8" t="s">
        <v>71</v>
      </c>
      <c r="J12" s="8" t="s">
        <v>72</v>
      </c>
    </row>
    <row r="13" spans="1:10" x14ac:dyDescent="0.2">
      <c r="B13" s="6" t="s">
        <v>36</v>
      </c>
      <c r="C13" s="6" t="s">
        <v>37</v>
      </c>
      <c r="D13" s="6">
        <v>675</v>
      </c>
      <c r="F13" s="6">
        <v>0</v>
      </c>
      <c r="G13" s="6">
        <v>760500</v>
      </c>
      <c r="I13" s="6">
        <v>675</v>
      </c>
      <c r="J13" s="6">
        <v>1003500</v>
      </c>
    </row>
    <row r="14" spans="1:10" x14ac:dyDescent="0.2">
      <c r="B14" s="6" t="s">
        <v>39</v>
      </c>
      <c r="C14" s="6" t="s">
        <v>40</v>
      </c>
      <c r="D14" s="6">
        <v>0</v>
      </c>
      <c r="F14" s="6">
        <v>0</v>
      </c>
      <c r="G14" s="6">
        <v>1003500</v>
      </c>
      <c r="I14" s="6">
        <v>0</v>
      </c>
      <c r="J14" s="6">
        <v>1003500</v>
      </c>
    </row>
    <row r="15" spans="1:10" ht="13.5" thickBot="1" x14ac:dyDescent="0.25">
      <c r="B15" s="4" t="s">
        <v>41</v>
      </c>
      <c r="C15" s="4" t="s">
        <v>42</v>
      </c>
      <c r="D15" s="4">
        <v>325</v>
      </c>
      <c r="F15" s="4">
        <v>0</v>
      </c>
      <c r="G15" s="4">
        <v>243000</v>
      </c>
      <c r="I15" s="4">
        <v>325</v>
      </c>
      <c r="J15" s="4">
        <v>1003500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30" zoomScaleNormal="130" workbookViewId="0">
      <selection activeCell="C23" sqref="C23"/>
    </sheetView>
  </sheetViews>
  <sheetFormatPr defaultColWidth="11.5703125" defaultRowHeight="12.75" x14ac:dyDescent="0.2"/>
  <cols>
    <col min="1" max="1" width="34.5703125" customWidth="1"/>
    <col min="4" max="4" width="22.7109375" customWidth="1"/>
    <col min="5" max="5" width="18.42578125" customWidth="1"/>
    <col min="6" max="6" width="17.28515625" customWidth="1"/>
  </cols>
  <sheetData>
    <row r="1" spans="1:6" ht="18.75" x14ac:dyDescent="0.2">
      <c r="A1" s="1"/>
      <c r="B1" s="1" t="s">
        <v>0</v>
      </c>
      <c r="C1" s="1" t="s">
        <v>1</v>
      </c>
      <c r="D1" s="1" t="s">
        <v>2</v>
      </c>
      <c r="E1" s="1"/>
      <c r="F1" s="2"/>
    </row>
    <row r="2" spans="1:6" ht="32.65" customHeight="1" x14ac:dyDescent="0.2">
      <c r="A2" s="1" t="s">
        <v>3</v>
      </c>
      <c r="B2" s="1">
        <v>1</v>
      </c>
      <c r="C2" s="1">
        <v>1</v>
      </c>
      <c r="D2" s="1">
        <v>1</v>
      </c>
      <c r="E2" s="1">
        <v>1000</v>
      </c>
      <c r="F2" s="2"/>
    </row>
    <row r="3" spans="1:6" ht="18.75" x14ac:dyDescent="0.2">
      <c r="A3" s="1" t="s">
        <v>4</v>
      </c>
      <c r="B3" s="1">
        <v>5</v>
      </c>
      <c r="C3" s="1">
        <v>4</v>
      </c>
      <c r="D3" s="1">
        <v>45</v>
      </c>
      <c r="E3" s="1">
        <v>18000</v>
      </c>
      <c r="F3" s="2"/>
    </row>
    <row r="4" spans="1:6" ht="18.75" x14ac:dyDescent="0.2">
      <c r="A4" s="1" t="s">
        <v>5</v>
      </c>
      <c r="B4" s="1">
        <v>120</v>
      </c>
      <c r="C4" s="1">
        <v>100</v>
      </c>
      <c r="D4" s="1">
        <v>900</v>
      </c>
      <c r="E4" s="1">
        <v>420000</v>
      </c>
      <c r="F4" s="2"/>
    </row>
    <row r="5" spans="1:6" ht="18.75" x14ac:dyDescent="0.2">
      <c r="A5" s="1" t="s">
        <v>6</v>
      </c>
      <c r="B5" s="1">
        <v>360</v>
      </c>
      <c r="C5" s="1">
        <v>260</v>
      </c>
      <c r="D5" s="1">
        <v>2340</v>
      </c>
      <c r="E5" s="1" t="s">
        <v>7</v>
      </c>
      <c r="F5" s="2"/>
    </row>
    <row r="6" spans="1:6" ht="32.65" customHeight="1" x14ac:dyDescent="0.2">
      <c r="A6" s="1" t="s">
        <v>9</v>
      </c>
      <c r="B6" s="1">
        <v>675</v>
      </c>
      <c r="C6" s="1">
        <v>0</v>
      </c>
      <c r="D6" s="1">
        <v>325</v>
      </c>
      <c r="E6" s="1"/>
      <c r="F6" s="2"/>
    </row>
    <row r="7" spans="1:6" ht="18.75" x14ac:dyDescent="0.3">
      <c r="A7" s="1" t="s">
        <v>8</v>
      </c>
      <c r="B7" s="10">
        <f>SUMPRODUCT(B6:D6,B5:D5)</f>
        <v>1003500</v>
      </c>
      <c r="C7" s="11"/>
      <c r="D7" s="12"/>
      <c r="E7" s="1"/>
      <c r="F7" s="2"/>
    </row>
    <row r="8" spans="1:6" ht="18.75" x14ac:dyDescent="0.2">
      <c r="A8" s="1" t="s">
        <v>10</v>
      </c>
      <c r="B8" s="9">
        <f>SUMPRODUCT(B6:D6,B2:D2)</f>
        <v>1000</v>
      </c>
      <c r="C8" s="9"/>
      <c r="D8" s="9"/>
      <c r="E8" s="1">
        <v>1000</v>
      </c>
    </row>
    <row r="9" spans="1:6" ht="18.75" x14ac:dyDescent="0.2">
      <c r="A9" s="1" t="s">
        <v>11</v>
      </c>
      <c r="B9" s="9">
        <f>SUMPRODUCT(B6:D6,B3:D3)</f>
        <v>18000</v>
      </c>
      <c r="C9" s="9"/>
      <c r="D9" s="9"/>
      <c r="E9" s="1">
        <v>18000</v>
      </c>
    </row>
    <row r="10" spans="1:6" ht="18.75" x14ac:dyDescent="0.2">
      <c r="A10" s="1" t="s">
        <v>12</v>
      </c>
      <c r="B10" s="9">
        <f>SUMPRODUCT(B6:D6,B4:D4)</f>
        <v>373500</v>
      </c>
      <c r="C10" s="9"/>
      <c r="D10" s="9"/>
      <c r="E10" s="1">
        <v>420000</v>
      </c>
    </row>
  </sheetData>
  <mergeCells count="4">
    <mergeCell ref="B8:D8"/>
    <mergeCell ref="B9:D9"/>
    <mergeCell ref="B10:D10"/>
    <mergeCell ref="B7:D7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Limits Report 1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Ян Риженко</cp:lastModifiedBy>
  <cp:revision>1</cp:revision>
  <dcterms:created xsi:type="dcterms:W3CDTF">2026-05-12T23:11:42Z</dcterms:created>
  <dcterms:modified xsi:type="dcterms:W3CDTF">2026-05-15T11:06:09Z</dcterms:modified>
  <dc:language>en-US</dc:language>
</cp:coreProperties>
</file>